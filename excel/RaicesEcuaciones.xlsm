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oc\Documentos\AOC\Cursos\Métodos Numéricos\27-1\"/>
    </mc:Choice>
  </mc:AlternateContent>
  <xr:revisionPtr revIDLastSave="0" documentId="8_{3B9EA334-8F7B-42B1-9929-2878E36F31A9}" xr6:coauthVersionLast="47" xr6:coauthVersionMax="47" xr10:uidLastSave="{00000000-0000-0000-0000-000000000000}"/>
  <bookViews>
    <workbookView xWindow="-120" yWindow="-120" windowWidth="29040" windowHeight="16440" activeTab="1" xr2:uid="{FF0B2585-D595-4138-BC7B-7E76D724AB64}"/>
  </bookViews>
  <sheets>
    <sheet name="TablaBisec" sheetId="1" r:id="rId1"/>
    <sheet name="Secant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0" i="2" l="1"/>
  <c r="C11" i="2" s="1"/>
  <c r="C10" i="2"/>
  <c r="I6" i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6" i="1"/>
  <c r="C9" i="2"/>
  <c r="D8" i="2"/>
  <c r="C8" i="2"/>
  <c r="B10" i="2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9" i="2"/>
  <c r="I5" i="1"/>
  <c r="E5" i="1"/>
  <c r="E10" i="2" a="1"/>
  <c r="E9" i="2" a="1"/>
  <c r="E8" i="2" a="1"/>
  <c r="C7" i="1" a="1"/>
  <c r="D7" i="1" a="1"/>
  <c r="H6" i="1" a="1"/>
  <c r="F6" i="1" a="1"/>
  <c r="G6" i="1" a="1"/>
  <c r="D6" i="1" a="1"/>
  <c r="C6" i="1" a="1"/>
  <c r="H5" i="1" a="1"/>
  <c r="G5" i="1" a="1"/>
  <c r="F5" i="1" a="1"/>
  <c r="E10" i="2" l="1"/>
  <c r="E9" i="2"/>
  <c r="E8" i="2"/>
  <c r="D7" i="1"/>
  <c r="C7" i="1"/>
  <c r="G6" i="1"/>
  <c r="F6" i="1"/>
  <c r="H6" i="1"/>
  <c r="D6" i="1"/>
  <c r="C6" i="1"/>
  <c r="H5" i="1"/>
  <c r="G5" i="1"/>
  <c r="F5" i="1"/>
  <c r="H7" i="1" a="1"/>
  <c r="F7" i="1" a="1"/>
  <c r="D11" i="2" l="1"/>
  <c r="F10" i="2"/>
  <c r="F8" i="2"/>
  <c r="D9" i="2"/>
  <c r="F7" i="1"/>
  <c r="H7" i="1"/>
  <c r="E7" i="1"/>
  <c r="E6" i="1"/>
  <c r="E11" i="2" a="1"/>
  <c r="C8" i="1" a="1"/>
  <c r="D8" i="1" a="1"/>
  <c r="G7" i="1" a="1"/>
  <c r="E11" i="2" l="1"/>
  <c r="C12" i="2"/>
  <c r="G7" i="1"/>
  <c r="D8" i="1"/>
  <c r="C8" i="1"/>
  <c r="I7" i="1"/>
  <c r="F8" i="1" a="1"/>
  <c r="H8" i="1" a="1"/>
  <c r="D12" i="2" l="1"/>
  <c r="F11" i="2"/>
  <c r="F9" i="2"/>
  <c r="H8" i="1"/>
  <c r="F8" i="1"/>
  <c r="E8" i="1"/>
  <c r="E12" i="2" a="1"/>
  <c r="D9" i="1" a="1"/>
  <c r="C9" i="1" a="1"/>
  <c r="G8" i="1" a="1"/>
  <c r="E12" i="2" l="1"/>
  <c r="C13" i="2"/>
  <c r="G8" i="1"/>
  <c r="C9" i="1"/>
  <c r="D9" i="1"/>
  <c r="I8" i="1"/>
  <c r="F9" i="1" a="1"/>
  <c r="H9" i="1" a="1"/>
  <c r="D13" i="2" l="1"/>
  <c r="F12" i="2"/>
  <c r="H9" i="1"/>
  <c r="F9" i="1"/>
  <c r="E9" i="1"/>
  <c r="E13" i="2" a="1"/>
  <c r="D10" i="1" a="1"/>
  <c r="C10" i="1" a="1"/>
  <c r="G9" i="1" a="1"/>
  <c r="E13" i="2" l="1"/>
  <c r="C14" i="2"/>
  <c r="G9" i="1"/>
  <c r="C10" i="1"/>
  <c r="D10" i="1"/>
  <c r="I9" i="1"/>
  <c r="F10" i="1" a="1"/>
  <c r="H10" i="1" a="1"/>
  <c r="D14" i="2" l="1"/>
  <c r="F13" i="2"/>
  <c r="H10" i="1"/>
  <c r="F10" i="1"/>
  <c r="E10" i="1"/>
  <c r="E14" i="2" a="1"/>
  <c r="D11" i="1" a="1"/>
  <c r="C11" i="1" a="1"/>
  <c r="G10" i="1" a="1"/>
  <c r="E14" i="2" l="1"/>
  <c r="C15" i="2"/>
  <c r="G10" i="1"/>
  <c r="C11" i="1"/>
  <c r="D11" i="1"/>
  <c r="I10" i="1"/>
  <c r="F11" i="1" a="1"/>
  <c r="H11" i="1" a="1"/>
  <c r="F14" i="2" l="1"/>
  <c r="D15" i="2"/>
  <c r="H11" i="1"/>
  <c r="F11" i="1"/>
  <c r="E11" i="1"/>
  <c r="E15" i="2" a="1"/>
  <c r="D12" i="1" a="1"/>
  <c r="C12" i="1" a="1"/>
  <c r="G11" i="1" a="1"/>
  <c r="E15" i="2" l="1"/>
  <c r="C16" i="2"/>
  <c r="G11" i="1"/>
  <c r="C12" i="1"/>
  <c r="D12" i="1"/>
  <c r="I11" i="1"/>
  <c r="F12" i="1" a="1"/>
  <c r="H12" i="1" a="1"/>
  <c r="F15" i="2" l="1"/>
  <c r="D16" i="2"/>
  <c r="H12" i="1"/>
  <c r="F12" i="1"/>
  <c r="E12" i="1"/>
  <c r="E16" i="2" a="1"/>
  <c r="D13" i="1" a="1"/>
  <c r="C13" i="1" a="1"/>
  <c r="G12" i="1" a="1"/>
  <c r="E16" i="2" l="1"/>
  <c r="C17" i="2"/>
  <c r="G12" i="1"/>
  <c r="C13" i="1"/>
  <c r="D13" i="1"/>
  <c r="I12" i="1"/>
  <c r="F13" i="1" a="1"/>
  <c r="H13" i="1" a="1"/>
  <c r="F16" i="2" l="1"/>
  <c r="D17" i="2"/>
  <c r="H13" i="1"/>
  <c r="F13" i="1"/>
  <c r="E13" i="1"/>
  <c r="E17" i="2" a="1"/>
  <c r="D14" i="1" a="1"/>
  <c r="C14" i="1" a="1"/>
  <c r="G13" i="1" a="1"/>
  <c r="E17" i="2" l="1"/>
  <c r="C18" i="2"/>
  <c r="G13" i="1"/>
  <c r="C14" i="1"/>
  <c r="D14" i="1"/>
  <c r="I13" i="1"/>
  <c r="F14" i="1" a="1"/>
  <c r="H14" i="1" a="1"/>
  <c r="F17" i="2" l="1"/>
  <c r="D18" i="2"/>
  <c r="H14" i="1"/>
  <c r="F14" i="1"/>
  <c r="E14" i="1"/>
  <c r="E18" i="2" a="1"/>
  <c r="D15" i="1" a="1"/>
  <c r="C15" i="1" a="1"/>
  <c r="G14" i="1" a="1"/>
  <c r="E18" i="2" l="1"/>
  <c r="C19" i="2"/>
  <c r="G14" i="1"/>
  <c r="C15" i="1"/>
  <c r="D15" i="1"/>
  <c r="I14" i="1"/>
  <c r="F15" i="1" a="1"/>
  <c r="H15" i="1" a="1"/>
  <c r="D19" i="2" l="1"/>
  <c r="F18" i="2"/>
  <c r="H15" i="1"/>
  <c r="F15" i="1"/>
  <c r="E15" i="1"/>
  <c r="E19" i="2" a="1"/>
  <c r="D16" i="1" a="1"/>
  <c r="C16" i="1" a="1"/>
  <c r="G15" i="1" a="1"/>
  <c r="E19" i="2" l="1"/>
  <c r="C20" i="2"/>
  <c r="G15" i="1"/>
  <c r="C16" i="1"/>
  <c r="D16" i="1"/>
  <c r="I15" i="1"/>
  <c r="F16" i="1" a="1"/>
  <c r="H16" i="1" a="1"/>
  <c r="F19" i="2" l="1"/>
  <c r="D20" i="2"/>
  <c r="H16" i="1"/>
  <c r="F16" i="1"/>
  <c r="E16" i="1"/>
  <c r="E20" i="2" a="1"/>
  <c r="D17" i="1" a="1"/>
  <c r="C17" i="1" a="1"/>
  <c r="G16" i="1" a="1"/>
  <c r="E20" i="2" l="1"/>
  <c r="C21" i="2"/>
  <c r="G16" i="1"/>
  <c r="C17" i="1"/>
  <c r="D17" i="1"/>
  <c r="I16" i="1"/>
  <c r="H17" i="1" a="1"/>
  <c r="F17" i="1" a="1"/>
  <c r="D21" i="2" l="1"/>
  <c r="F20" i="2"/>
  <c r="F17" i="1"/>
  <c r="H17" i="1"/>
  <c r="E17" i="1"/>
  <c r="E21" i="2" a="1"/>
  <c r="C18" i="1" a="1"/>
  <c r="D18" i="1" a="1"/>
  <c r="G17" i="1" a="1"/>
  <c r="E21" i="2" l="1"/>
  <c r="C22" i="2"/>
  <c r="G17" i="1"/>
  <c r="D18" i="1"/>
  <c r="C18" i="1"/>
  <c r="I17" i="1"/>
  <c r="F18" i="1" a="1"/>
  <c r="H18" i="1" a="1"/>
  <c r="D22" i="2" l="1"/>
  <c r="F21" i="2"/>
  <c r="H18" i="1"/>
  <c r="F18" i="1"/>
  <c r="E18" i="1"/>
  <c r="E22" i="2" a="1"/>
  <c r="D19" i="1" a="1"/>
  <c r="C19" i="1" a="1"/>
  <c r="G18" i="1" a="1"/>
  <c r="E22" i="2" l="1"/>
  <c r="C23" i="2"/>
  <c r="G18" i="1"/>
  <c r="C19" i="1"/>
  <c r="D19" i="1"/>
  <c r="I18" i="1"/>
  <c r="F19" i="1" a="1"/>
  <c r="H19" i="1" a="1"/>
  <c r="F22" i="2" l="1"/>
  <c r="D23" i="2"/>
  <c r="H19" i="1"/>
  <c r="F19" i="1"/>
  <c r="E19" i="1"/>
  <c r="E23" i="2" a="1"/>
  <c r="D20" i="1" a="1"/>
  <c r="C20" i="1" a="1"/>
  <c r="G19" i="1" a="1"/>
  <c r="E23" i="2" l="1"/>
  <c r="C24" i="2"/>
  <c r="G19" i="1"/>
  <c r="C20" i="1"/>
  <c r="D20" i="1"/>
  <c r="I19" i="1"/>
  <c r="F20" i="1" a="1"/>
  <c r="H20" i="1" a="1"/>
  <c r="D24" i="2" l="1"/>
  <c r="F23" i="2"/>
  <c r="H20" i="1"/>
  <c r="F20" i="1"/>
  <c r="E20" i="1"/>
  <c r="E24" i="2" a="1"/>
  <c r="D21" i="1" a="1"/>
  <c r="C21" i="1" a="1"/>
  <c r="G20" i="1" a="1"/>
  <c r="E24" i="2" l="1"/>
  <c r="F24" i="2" s="1"/>
  <c r="G20" i="1"/>
  <c r="C21" i="1"/>
  <c r="D21" i="1"/>
  <c r="I20" i="1"/>
  <c r="H21" i="1" a="1"/>
  <c r="F21" i="1" a="1"/>
  <c r="F21" i="1" l="1"/>
  <c r="H21" i="1"/>
  <c r="E21" i="1"/>
  <c r="C22" i="1" a="1"/>
  <c r="D22" i="1" a="1"/>
  <c r="G21" i="1" a="1"/>
  <c r="G21" i="1" l="1"/>
  <c r="D22" i="1"/>
  <c r="C22" i="1"/>
  <c r="I21" i="1"/>
  <c r="H22" i="1" a="1"/>
  <c r="F22" i="1" a="1"/>
  <c r="F22" i="1" l="1"/>
  <c r="H22" i="1"/>
  <c r="E22" i="1"/>
  <c r="C23" i="1" a="1"/>
  <c r="D23" i="1" a="1"/>
  <c r="G22" i="1" a="1"/>
  <c r="G22" i="1" l="1"/>
  <c r="D23" i="1"/>
  <c r="C23" i="1"/>
  <c r="I22" i="1"/>
  <c r="H23" i="1" a="1"/>
  <c r="F23" i="1" a="1"/>
  <c r="F23" i="1" l="1"/>
  <c r="H23" i="1"/>
  <c r="E23" i="1"/>
  <c r="C24" i="1" a="1"/>
  <c r="D24" i="1" a="1"/>
  <c r="G23" i="1" a="1"/>
  <c r="G23" i="1" l="1"/>
  <c r="D24" i="1"/>
  <c r="C24" i="1"/>
  <c r="I23" i="1"/>
  <c r="H24" i="1" a="1"/>
  <c r="F24" i="1" a="1"/>
  <c r="F24" i="1" l="1"/>
  <c r="H24" i="1"/>
  <c r="E24" i="1"/>
  <c r="C25" i="1" a="1"/>
  <c r="D25" i="1" a="1"/>
  <c r="G24" i="1" a="1"/>
  <c r="G24" i="1" l="1"/>
  <c r="D25" i="1"/>
  <c r="C25" i="1"/>
  <c r="I24" i="1"/>
  <c r="H25" i="1" a="1"/>
  <c r="F25" i="1" a="1"/>
  <c r="F25" i="1" l="1"/>
  <c r="H25" i="1"/>
  <c r="E25" i="1"/>
  <c r="G25" i="1" a="1"/>
  <c r="G25" i="1" l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<sst xmlns="http://schemas.openxmlformats.org/spreadsheetml/2006/main" count="17" uniqueCount="16">
  <si>
    <t>a</t>
  </si>
  <si>
    <t>b</t>
  </si>
  <si>
    <t>error</t>
  </si>
  <si>
    <t>a=</t>
  </si>
  <si>
    <t>b=</t>
  </si>
  <si>
    <t>f(a)</t>
  </si>
  <si>
    <t>f(b)</t>
  </si>
  <si>
    <t>P0=</t>
  </si>
  <si>
    <t>P1=</t>
  </si>
  <si>
    <t>i</t>
  </si>
  <si>
    <t>P0</t>
  </si>
  <si>
    <t>P1</t>
  </si>
  <si>
    <t>P2</t>
  </si>
  <si>
    <t>Error</t>
  </si>
  <si>
    <t>c=(a+b)/2</t>
  </si>
  <si>
    <t>f( 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</si>
</sst>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39F57-D254-4F26-938D-9D57233326AB}">
  <sheetPr codeName="Hoja1"/>
  <dimension ref="B1:I31"/>
  <sheetViews>
    <sheetView topLeftCell="A17" zoomScale="162" workbookViewId="0">
      <selection activeCell="H12" sqref="H12"/>
    </sheetView>
  </sheetViews>
  <sheetFormatPr baseColWidth="10" defaultRowHeight="15" x14ac:dyDescent="0.25"/>
  <sheetData>
    <row r="1" spans="2:9" x14ac:dyDescent="0.25">
      <c r="C1" s="1" t="s">
        <v>3</v>
      </c>
      <c r="D1" s="1">
        <v>0</v>
      </c>
    </row>
    <row r="2" spans="2:9" x14ac:dyDescent="0.25">
      <c r="C2" s="1" t="s">
        <v>4</v>
      </c>
      <c r="D2" s="1">
        <v>1</v>
      </c>
    </row>
    <row r="4" spans="2:9" x14ac:dyDescent="0.25">
      <c r="B4" s="1" t="s">
        <v>9</v>
      </c>
      <c r="C4" s="1" t="s">
        <v>0</v>
      </c>
      <c r="D4" s="1" t="s">
        <v>1</v>
      </c>
      <c r="E4" s="1" t="s">
        <v>14</v>
      </c>
      <c r="F4" s="1" t="s">
        <v>5</v>
      </c>
      <c r="G4" s="1" t="s">
        <v>15</v>
      </c>
      <c r="H4" s="1" t="s">
        <v>6</v>
      </c>
      <c r="I4" s="1" t="s">
        <v>2</v>
      </c>
    </row>
    <row r="5" spans="2:9" ht="21" x14ac:dyDescent="0.35">
      <c r="B5" s="1">
        <v>1</v>
      </c>
      <c r="C5" s="2">
        <v>0</v>
      </c>
      <c r="D5" s="2">
        <v>1</v>
      </c>
      <c r="E5" s="2">
        <f>(C5+D5)/2</f>
        <v>0.5</v>
      </c>
      <c r="F5" s="3" t="str" cm="1">
        <f t="array" ref="F5">IF(Func(C5)&gt;0,"+","-")</f>
        <v>+</v>
      </c>
      <c r="G5" s="3" t="str" cm="1">
        <f t="array" ref="G5">IF(Func(E5)&gt;0,"+","-")</f>
        <v>+</v>
      </c>
      <c r="H5" s="3" t="str" cm="1">
        <f t="array" ref="H5">IF(Func(D5)&gt;0,"+","-")</f>
        <v>-</v>
      </c>
      <c r="I5" s="1">
        <f>ABS(E5-D5)</f>
        <v>0.5</v>
      </c>
    </row>
    <row r="6" spans="2:9" ht="21" x14ac:dyDescent="0.35">
      <c r="B6" s="1">
        <f>B5+1</f>
        <v>2</v>
      </c>
      <c r="C6" s="1" cm="1">
        <f t="array" ref="C6">IF(Func(C5)*Func(E5)&lt;0,C5,E5)</f>
        <v>0.5</v>
      </c>
      <c r="D6" s="1" cm="1">
        <f t="array" ref="D6">IF(Func(D5)*Func(E5)&lt;0,D5,E5)</f>
        <v>1</v>
      </c>
      <c r="E6" s="2">
        <f>(C6+D6)/2</f>
        <v>0.75</v>
      </c>
      <c r="F6" s="3" t="str" cm="1">
        <f t="array" ref="F6">IF(Func(C6)&gt;0,"+","-")</f>
        <v>+</v>
      </c>
      <c r="G6" s="3" t="str" cm="1">
        <f t="array" ref="G6">IF(Func(E6)&gt;0,"+","-")</f>
        <v>+</v>
      </c>
      <c r="H6" s="3" t="str" cm="1">
        <f t="array" ref="H6">IF(Func(D6)&gt;0,"+","-")</f>
        <v>-</v>
      </c>
      <c r="I6" s="1">
        <f>ABS(E6-D6)</f>
        <v>0.25</v>
      </c>
    </row>
    <row r="7" spans="2:9" ht="21" x14ac:dyDescent="0.35">
      <c r="B7" s="1">
        <f t="shared" ref="B7:B25" si="0">B6+1</f>
        <v>3</v>
      </c>
      <c r="C7" s="1" cm="1">
        <f t="array" ref="C7">IF(Func(C6)*Func(E6)&lt;0,C6,E6)</f>
        <v>0.75</v>
      </c>
      <c r="D7" s="1" cm="1">
        <f t="array" ref="D7">IF(Func(D6)*Func(E6)&lt;0,D6,E6)</f>
        <v>1</v>
      </c>
      <c r="E7" s="2">
        <f t="shared" ref="E7:E25" si="1">(C7+D7)/2</f>
        <v>0.875</v>
      </c>
      <c r="F7" s="3" t="str" cm="1">
        <f t="array" ref="F7">IF(Func(C7)&gt;0,"+","-")</f>
        <v>+</v>
      </c>
      <c r="G7" s="3" t="str" cm="1">
        <f t="array" ref="G7">IF(Func(E7)&gt;0,"+","-")</f>
        <v>-</v>
      </c>
      <c r="H7" s="3" t="str" cm="1">
        <f t="array" ref="H7">IF(Func(D7)&gt;0,"+","-")</f>
        <v>-</v>
      </c>
      <c r="I7" s="1">
        <f t="shared" ref="I7:I25" si="2">ABS(E7-D7)</f>
        <v>0.125</v>
      </c>
    </row>
    <row r="8" spans="2:9" ht="21" x14ac:dyDescent="0.35">
      <c r="B8" s="1">
        <f t="shared" si="0"/>
        <v>4</v>
      </c>
      <c r="C8" s="1" cm="1">
        <f t="array" ref="C8">IF(Func(C7)*Func(E7)&lt;0,C7,E7)</f>
        <v>0.75</v>
      </c>
      <c r="D8" s="1" cm="1">
        <f t="array" ref="D8">IF(Func(D7)*Func(E7)&lt;0,D7,E7)</f>
        <v>0.875</v>
      </c>
      <c r="E8" s="2">
        <f t="shared" si="1"/>
        <v>0.8125</v>
      </c>
      <c r="F8" s="3" t="str" cm="1">
        <f t="array" ref="F8">IF(Func(C8)&gt;0,"+","-")</f>
        <v>+</v>
      </c>
      <c r="G8" s="3" t="str" cm="1">
        <f t="array" ref="G8">IF(Func(E8)&gt;0,"+","-")</f>
        <v>-</v>
      </c>
      <c r="H8" s="3" t="str" cm="1">
        <f t="array" ref="H8">IF(Func(D8)&gt;0,"+","-")</f>
        <v>-</v>
      </c>
      <c r="I8" s="1">
        <f t="shared" si="2"/>
        <v>6.25E-2</v>
      </c>
    </row>
    <row r="9" spans="2:9" ht="21" x14ac:dyDescent="0.35">
      <c r="B9" s="1">
        <f t="shared" si="0"/>
        <v>5</v>
      </c>
      <c r="C9" s="1" cm="1">
        <f t="array" ref="C9">IF(Func(C8)*Func(E8)&lt;0,C8,E8)</f>
        <v>0.75</v>
      </c>
      <c r="D9" s="1" cm="1">
        <f t="array" ref="D9">IF(Func(D8)*Func(E8)&lt;0,D8,E8)</f>
        <v>0.8125</v>
      </c>
      <c r="E9" s="2">
        <f t="shared" si="1"/>
        <v>0.78125</v>
      </c>
      <c r="F9" s="3" t="str" cm="1">
        <f t="array" ref="F9">IF(Func(C9)&gt;0,"+","-")</f>
        <v>+</v>
      </c>
      <c r="G9" s="3" t="str" cm="1">
        <f t="array" ref="G9">IF(Func(E9)&gt;0,"+","-")</f>
        <v>-</v>
      </c>
      <c r="H9" s="3" t="str" cm="1">
        <f t="array" ref="H9">IF(Func(D9)&gt;0,"+","-")</f>
        <v>-</v>
      </c>
      <c r="I9" s="1">
        <f t="shared" si="2"/>
        <v>3.125E-2</v>
      </c>
    </row>
    <row r="10" spans="2:9" ht="21" x14ac:dyDescent="0.35">
      <c r="B10" s="1">
        <f t="shared" si="0"/>
        <v>6</v>
      </c>
      <c r="C10" s="1" cm="1">
        <f t="array" ref="C10">IF(Func(C9)*Func(E9)&lt;0,C9,E9)</f>
        <v>0.75</v>
      </c>
      <c r="D10" s="1" cm="1">
        <f t="array" ref="D10">IF(Func(D9)*Func(E9)&lt;0,D9,E9)</f>
        <v>0.78125</v>
      </c>
      <c r="E10" s="2">
        <f t="shared" si="1"/>
        <v>0.765625</v>
      </c>
      <c r="F10" s="3" t="str" cm="1">
        <f t="array" ref="F10">IF(Func(C10)&gt;0,"+","-")</f>
        <v>+</v>
      </c>
      <c r="G10" s="3" t="str" cm="1">
        <f t="array" ref="G10">IF(Func(E10)&gt;0,"+","-")</f>
        <v>-</v>
      </c>
      <c r="H10" s="3" t="str" cm="1">
        <f t="array" ref="H10">IF(Func(D10)&gt;0,"+","-")</f>
        <v>-</v>
      </c>
      <c r="I10" s="1">
        <f t="shared" si="2"/>
        <v>1.5625E-2</v>
      </c>
    </row>
    <row r="11" spans="2:9" ht="21" x14ac:dyDescent="0.35">
      <c r="B11" s="1">
        <f t="shared" si="0"/>
        <v>7</v>
      </c>
      <c r="C11" s="1" cm="1">
        <f t="array" ref="C11">IF(Func(C10)*Func(E10)&lt;0,C10,E10)</f>
        <v>0.75</v>
      </c>
      <c r="D11" s="1" cm="1">
        <f t="array" ref="D11">IF(Func(D10)*Func(E10)&lt;0,D10,E10)</f>
        <v>0.765625</v>
      </c>
      <c r="E11" s="2">
        <f t="shared" si="1"/>
        <v>0.7578125</v>
      </c>
      <c r="F11" s="3" t="str" cm="1">
        <f t="array" ref="F11">IF(Func(C11)&gt;0,"+","-")</f>
        <v>+</v>
      </c>
      <c r="G11" s="3" t="str" cm="1">
        <f t="array" ref="G11">IF(Func(E11)&gt;0,"+","-")</f>
        <v>+</v>
      </c>
      <c r="H11" s="3" t="str" cm="1">
        <f t="array" ref="H11">IF(Func(D11)&gt;0,"+","-")</f>
        <v>-</v>
      </c>
      <c r="I11" s="1">
        <f t="shared" si="2"/>
        <v>7.8125E-3</v>
      </c>
    </row>
    <row r="12" spans="2:9" ht="21" x14ac:dyDescent="0.35">
      <c r="B12" s="1">
        <f t="shared" si="0"/>
        <v>8</v>
      </c>
      <c r="C12" s="1" cm="1">
        <f t="array" ref="C12">IF(Func(C11)*Func(E11)&lt;0,C11,E11)</f>
        <v>0.7578125</v>
      </c>
      <c r="D12" s="1" cm="1">
        <f t="array" ref="D12">IF(Func(D11)*Func(E11)&lt;0,D11,E11)</f>
        <v>0.765625</v>
      </c>
      <c r="E12" s="2">
        <f t="shared" si="1"/>
        <v>0.76171875</v>
      </c>
      <c r="F12" s="3" t="str" cm="1">
        <f t="array" ref="F12">IF(Func(C12)&gt;0,"+","-")</f>
        <v>+</v>
      </c>
      <c r="G12" s="3" t="str" cm="1">
        <f t="array" ref="G12">IF(Func(E12)&gt;0,"+","-")</f>
        <v>+</v>
      </c>
      <c r="H12" s="3" t="str" cm="1">
        <f t="array" ref="H12">IF(Func(D12)&gt;0,"+","-")</f>
        <v>-</v>
      </c>
      <c r="I12" s="1">
        <f t="shared" si="2"/>
        <v>3.90625E-3</v>
      </c>
    </row>
    <row r="13" spans="2:9" ht="21" x14ac:dyDescent="0.35">
      <c r="B13" s="1">
        <f t="shared" si="0"/>
        <v>9</v>
      </c>
      <c r="C13" s="1" cm="1">
        <f t="array" ref="C13">IF(Func(C12)*Func(E12)&lt;0,C12,E12)</f>
        <v>0.76171875</v>
      </c>
      <c r="D13" s="1" cm="1">
        <f t="array" ref="D13">IF(Func(D12)*Func(E12)&lt;0,D12,E12)</f>
        <v>0.765625</v>
      </c>
      <c r="E13" s="2">
        <f t="shared" si="1"/>
        <v>0.763671875</v>
      </c>
      <c r="F13" s="3" t="str" cm="1">
        <f t="array" ref="F13">IF(Func(C13)&gt;0,"+","-")</f>
        <v>+</v>
      </c>
      <c r="G13" s="3" t="str" cm="1">
        <f t="array" ref="G13">IF(Func(E13)&gt;0,"+","-")</f>
        <v>-</v>
      </c>
      <c r="H13" s="3" t="str" cm="1">
        <f t="array" ref="H13">IF(Func(D13)&gt;0,"+","-")</f>
        <v>-</v>
      </c>
      <c r="I13" s="1">
        <f t="shared" si="2"/>
        <v>1.953125E-3</v>
      </c>
    </row>
    <row r="14" spans="2:9" ht="21" x14ac:dyDescent="0.35">
      <c r="B14" s="1">
        <f t="shared" si="0"/>
        <v>10</v>
      </c>
      <c r="C14" s="1" cm="1">
        <f t="array" ref="C14">IF(Func(C13)*Func(E13)&lt;0,C13,E13)</f>
        <v>0.76171875</v>
      </c>
      <c r="D14" s="1" cm="1">
        <f t="array" ref="D14">IF(Func(D13)*Func(E13)&lt;0,D13,E13)</f>
        <v>0.763671875</v>
      </c>
      <c r="E14" s="2">
        <f t="shared" si="1"/>
        <v>0.7626953125</v>
      </c>
      <c r="F14" s="3" t="str" cm="1">
        <f t="array" ref="F14">IF(Func(C14)&gt;0,"+","-")</f>
        <v>+</v>
      </c>
      <c r="G14" s="3" t="str" cm="1">
        <f t="array" ref="G14">IF(Func(E14)&gt;0,"+","-")</f>
        <v>+</v>
      </c>
      <c r="H14" s="3" t="str" cm="1">
        <f t="array" ref="H14">IF(Func(D14)&gt;0,"+","-")</f>
        <v>-</v>
      </c>
      <c r="I14" s="1">
        <f t="shared" si="2"/>
        <v>9.765625E-4</v>
      </c>
    </row>
    <row r="15" spans="2:9" ht="21" x14ac:dyDescent="0.35">
      <c r="B15" s="1">
        <f t="shared" si="0"/>
        <v>11</v>
      </c>
      <c r="C15" s="1" cm="1">
        <f t="array" ref="C15">IF(Func(C14)*Func(E14)&lt;0,C14,E14)</f>
        <v>0.7626953125</v>
      </c>
      <c r="D15" s="1" cm="1">
        <f t="array" ref="D15">IF(Func(D14)*Func(E14)&lt;0,D14,E14)</f>
        <v>0.763671875</v>
      </c>
      <c r="E15" s="2">
        <f t="shared" si="1"/>
        <v>0.76318359375</v>
      </c>
      <c r="F15" s="3" t="str" cm="1">
        <f t="array" ref="F15">IF(Func(C15)&gt;0,"+","-")</f>
        <v>+</v>
      </c>
      <c r="G15" s="3" t="str" cm="1">
        <f t="array" ref="G15">IF(Func(E15)&gt;0,"+","-")</f>
        <v>+</v>
      </c>
      <c r="H15" s="3" t="str" cm="1">
        <f t="array" ref="H15">IF(Func(D15)&gt;0,"+","-")</f>
        <v>-</v>
      </c>
      <c r="I15" s="1">
        <f t="shared" si="2"/>
        <v>4.8828125E-4</v>
      </c>
    </row>
    <row r="16" spans="2:9" ht="21" x14ac:dyDescent="0.35">
      <c r="B16" s="1">
        <f t="shared" si="0"/>
        <v>12</v>
      </c>
      <c r="C16" s="1" cm="1">
        <f t="array" ref="C16">IF(Func(C15)*Func(E15)&lt;0,C15,E15)</f>
        <v>0.76318359375</v>
      </c>
      <c r="D16" s="1" cm="1">
        <f t="array" ref="D16">IF(Func(D15)*Func(E15)&lt;0,D15,E15)</f>
        <v>0.763671875</v>
      </c>
      <c r="E16" s="2">
        <f t="shared" si="1"/>
        <v>0.763427734375</v>
      </c>
      <c r="F16" s="3" t="str" cm="1">
        <f t="array" ref="F16">IF(Func(C16)&gt;0,"+","-")</f>
        <v>+</v>
      </c>
      <c r="G16" s="3" t="str" cm="1">
        <f t="array" ref="G16">IF(Func(E16)&gt;0,"+","-")</f>
        <v>+</v>
      </c>
      <c r="H16" s="3" t="str" cm="1">
        <f t="array" ref="H16">IF(Func(D16)&gt;0,"+","-")</f>
        <v>-</v>
      </c>
      <c r="I16" s="1">
        <f t="shared" si="2"/>
        <v>2.44140625E-4</v>
      </c>
    </row>
    <row r="17" spans="2:9" ht="21" x14ac:dyDescent="0.35">
      <c r="B17" s="1">
        <f t="shared" si="0"/>
        <v>13</v>
      </c>
      <c r="C17" s="1" cm="1">
        <f t="array" ref="C17">IF(Func(C16)*Func(E16)&lt;0,C16,E16)</f>
        <v>0.763427734375</v>
      </c>
      <c r="D17" s="1" cm="1">
        <f t="array" ref="D17">IF(Func(D16)*Func(E16)&lt;0,D16,E16)</f>
        <v>0.763671875</v>
      </c>
      <c r="E17" s="2">
        <f t="shared" si="1"/>
        <v>0.7635498046875</v>
      </c>
      <c r="F17" s="3" t="str" cm="1">
        <f t="array" ref="F17">IF(Func(C17)&gt;0,"+","-")</f>
        <v>+</v>
      </c>
      <c r="G17" s="3" t="str" cm="1">
        <f t="array" ref="G17">IF(Func(E17)&gt;0,"+","-")</f>
        <v>+</v>
      </c>
      <c r="H17" s="3" t="str" cm="1">
        <f t="array" ref="H17">IF(Func(D17)&gt;0,"+","-")</f>
        <v>-</v>
      </c>
      <c r="I17" s="1">
        <f t="shared" si="2"/>
        <v>1.220703125E-4</v>
      </c>
    </row>
    <row r="18" spans="2:9" ht="21" x14ac:dyDescent="0.35">
      <c r="B18" s="1">
        <f t="shared" si="0"/>
        <v>14</v>
      </c>
      <c r="C18" s="1" cm="1">
        <f t="array" ref="C18">IF(Func(C17)*Func(E17)&lt;0,C17,E17)</f>
        <v>0.7635498046875</v>
      </c>
      <c r="D18" s="1" cm="1">
        <f t="array" ref="D18">IF(Func(D17)*Func(E17)&lt;0,D17,E17)</f>
        <v>0.763671875</v>
      </c>
      <c r="E18" s="2">
        <f t="shared" si="1"/>
        <v>0.76361083984375</v>
      </c>
      <c r="F18" s="3" t="str" cm="1">
        <f t="array" ref="F18">IF(Func(C18)&gt;0,"+","-")</f>
        <v>+</v>
      </c>
      <c r="G18" s="3" t="str" cm="1">
        <f t="array" ref="G18">IF(Func(E18)&gt;0,"+","-")</f>
        <v>-</v>
      </c>
      <c r="H18" s="3" t="str" cm="1">
        <f t="array" ref="H18">IF(Func(D18)&gt;0,"+","-")</f>
        <v>-</v>
      </c>
      <c r="I18" s="1">
        <f t="shared" si="2"/>
        <v>6.103515625E-5</v>
      </c>
    </row>
    <row r="19" spans="2:9" ht="21" x14ac:dyDescent="0.35">
      <c r="B19" s="1">
        <f t="shared" si="0"/>
        <v>15</v>
      </c>
      <c r="C19" s="1" cm="1">
        <f t="array" ref="C19">IF(Func(C18)*Func(E18)&lt;0,C18,E18)</f>
        <v>0.7635498046875</v>
      </c>
      <c r="D19" s="1" cm="1">
        <f t="array" ref="D19">IF(Func(D18)*Func(E18)&lt;0,D18,E18)</f>
        <v>0.76361083984375</v>
      </c>
      <c r="E19" s="2">
        <f t="shared" si="1"/>
        <v>0.763580322265625</v>
      </c>
      <c r="F19" s="3" t="str" cm="1">
        <f t="array" ref="F19">IF(Func(C19)&gt;0,"+","-")</f>
        <v>+</v>
      </c>
      <c r="G19" s="3" t="str" cm="1">
        <f t="array" ref="G19">IF(Func(E19)&gt;0,"+","-")</f>
        <v>-</v>
      </c>
      <c r="H19" s="3" t="str" cm="1">
        <f t="array" ref="H19">IF(Func(D19)&gt;0,"+","-")</f>
        <v>-</v>
      </c>
      <c r="I19" s="1">
        <f t="shared" si="2"/>
        <v>3.0517578125E-5</v>
      </c>
    </row>
    <row r="20" spans="2:9" ht="21" x14ac:dyDescent="0.35">
      <c r="B20" s="1">
        <f t="shared" si="0"/>
        <v>16</v>
      </c>
      <c r="C20" s="1" cm="1">
        <f t="array" ref="C20">IF(Func(C19)*Func(E19)&lt;0,C19,E19)</f>
        <v>0.7635498046875</v>
      </c>
      <c r="D20" s="1" cm="1">
        <f t="array" ref="D20">IF(Func(D19)*Func(E19)&lt;0,D19,E19)</f>
        <v>0.763580322265625</v>
      </c>
      <c r="E20" s="2">
        <f t="shared" si="1"/>
        <v>0.7635650634765625</v>
      </c>
      <c r="F20" s="3" t="str" cm="1">
        <f t="array" ref="F20">IF(Func(C20)&gt;0,"+","-")</f>
        <v>+</v>
      </c>
      <c r="G20" s="3" t="str" cm="1">
        <f t="array" ref="G20">IF(Func(E20)&gt;0,"+","-")</f>
        <v>+</v>
      </c>
      <c r="H20" s="3" t="str" cm="1">
        <f t="array" ref="H20">IF(Func(D20)&gt;0,"+","-")</f>
        <v>-</v>
      </c>
      <c r="I20" s="1">
        <f t="shared" si="2"/>
        <v>1.52587890625E-5</v>
      </c>
    </row>
    <row r="21" spans="2:9" ht="21" x14ac:dyDescent="0.35">
      <c r="B21" s="1">
        <f t="shared" si="0"/>
        <v>17</v>
      </c>
      <c r="C21" s="1" cm="1">
        <f t="array" ref="C21">IF(Func(C20)*Func(E20)&lt;0,C20,E20)</f>
        <v>0.7635650634765625</v>
      </c>
      <c r="D21" s="1" cm="1">
        <f t="array" ref="D21">IF(Func(D20)*Func(E20)&lt;0,D20,E20)</f>
        <v>0.763580322265625</v>
      </c>
      <c r="E21" s="2">
        <f t="shared" si="1"/>
        <v>0.76357269287109375</v>
      </c>
      <c r="F21" s="3" t="str" cm="1">
        <f t="array" ref="F21">IF(Func(C21)&gt;0,"+","-")</f>
        <v>+</v>
      </c>
      <c r="G21" s="3" t="str" cm="1">
        <f t="array" ref="G21">IF(Func(E21)&gt;0,"+","-")</f>
        <v>+</v>
      </c>
      <c r="H21" s="3" t="str" cm="1">
        <f t="array" ref="H21">IF(Func(D21)&gt;0,"+","-")</f>
        <v>-</v>
      </c>
      <c r="I21" s="1">
        <f t="shared" si="2"/>
        <v>7.62939453125E-6</v>
      </c>
    </row>
    <row r="22" spans="2:9" ht="21" x14ac:dyDescent="0.35">
      <c r="B22" s="1">
        <f t="shared" si="0"/>
        <v>18</v>
      </c>
      <c r="C22" s="1" cm="1">
        <f t="array" ref="C22">IF(Func(C21)*Func(E21)&lt;0,C21,E21)</f>
        <v>0.76357269287109375</v>
      </c>
      <c r="D22" s="1" cm="1">
        <f t="array" ref="D22">IF(Func(D21)*Func(E21)&lt;0,D21,E21)</f>
        <v>0.763580322265625</v>
      </c>
      <c r="E22" s="2">
        <f t="shared" si="1"/>
        <v>0.76357650756835938</v>
      </c>
      <c r="F22" s="3" t="str" cm="1">
        <f t="array" ref="F22">IF(Func(C22)&gt;0,"+","-")</f>
        <v>+</v>
      </c>
      <c r="G22" s="3" t="str" cm="1">
        <f t="array" ref="G22">IF(Func(E22)&gt;0,"+","-")</f>
        <v>-</v>
      </c>
      <c r="H22" s="3" t="str" cm="1">
        <f t="array" ref="H22">IF(Func(D22)&gt;0,"+","-")</f>
        <v>-</v>
      </c>
      <c r="I22" s="1">
        <f t="shared" si="2"/>
        <v>3.814697265625E-6</v>
      </c>
    </row>
    <row r="23" spans="2:9" ht="21" x14ac:dyDescent="0.35">
      <c r="B23" s="1">
        <f t="shared" si="0"/>
        <v>19</v>
      </c>
      <c r="C23" s="1" cm="1">
        <f t="array" ref="C23">IF(Func(C22)*Func(E22)&lt;0,C22,E22)</f>
        <v>0.76357269287109375</v>
      </c>
      <c r="D23" s="1" cm="1">
        <f t="array" ref="D23">IF(Func(D22)*Func(E22)&lt;0,D22,E22)</f>
        <v>0.76357650756835938</v>
      </c>
      <c r="E23" s="2">
        <f t="shared" si="1"/>
        <v>0.76357460021972656</v>
      </c>
      <c r="F23" s="3" t="str" cm="1">
        <f t="array" ref="F23">IF(Func(C23)&gt;0,"+","-")</f>
        <v>+</v>
      </c>
      <c r="G23" s="3" t="str" cm="1">
        <f t="array" ref="G23">IF(Func(E23)&gt;0,"+","-")</f>
        <v>+</v>
      </c>
      <c r="H23" s="3" t="str" cm="1">
        <f t="array" ref="H23">IF(Func(D23)&gt;0,"+","-")</f>
        <v>-</v>
      </c>
      <c r="I23" s="1">
        <f t="shared" si="2"/>
        <v>1.9073486328125E-6</v>
      </c>
    </row>
    <row r="24" spans="2:9" ht="21" x14ac:dyDescent="0.35">
      <c r="B24" s="1">
        <f t="shared" si="0"/>
        <v>20</v>
      </c>
      <c r="C24" s="1" cm="1">
        <f t="array" ref="C24">IF(Func(C23)*Func(E23)&lt;0,C23,E23)</f>
        <v>0.76357460021972656</v>
      </c>
      <c r="D24" s="1" cm="1">
        <f t="array" ref="D24">IF(Func(D23)*Func(E23)&lt;0,D23,E23)</f>
        <v>0.76357650756835938</v>
      </c>
      <c r="E24" s="2">
        <f t="shared" si="1"/>
        <v>0.76357555389404297</v>
      </c>
      <c r="F24" s="3" t="str" cm="1">
        <f t="array" ref="F24">IF(Func(C24)&gt;0,"+","-")</f>
        <v>+</v>
      </c>
      <c r="G24" s="3" t="str" cm="1">
        <f t="array" ref="G24">IF(Func(E24)&gt;0,"+","-")</f>
        <v>+</v>
      </c>
      <c r="H24" s="3" t="str" cm="1">
        <f t="array" ref="H24">IF(Func(D24)&gt;0,"+","-")</f>
        <v>-</v>
      </c>
      <c r="I24" s="1">
        <f t="shared" si="2"/>
        <v>9.5367431640625E-7</v>
      </c>
    </row>
    <row r="25" spans="2:9" ht="21" x14ac:dyDescent="0.35">
      <c r="B25" s="1">
        <f t="shared" si="0"/>
        <v>21</v>
      </c>
      <c r="C25" s="1" cm="1">
        <f t="array" ref="C25">IF(Func(C24)*Func(E24)&lt;0,C24,E24)</f>
        <v>0.76357555389404297</v>
      </c>
      <c r="D25" s="1" cm="1">
        <f t="array" ref="D25">IF(Func(D24)*Func(E24)&lt;0,D24,E24)</f>
        <v>0.76357650756835938</v>
      </c>
      <c r="E25" s="2">
        <f t="shared" si="1"/>
        <v>0.76357603073120117</v>
      </c>
      <c r="F25" s="3" t="str" cm="1">
        <f t="array" ref="F25">IF(Func(C25)&gt;0,"+","-")</f>
        <v>+</v>
      </c>
      <c r="G25" s="3" t="str" cm="1">
        <f t="array" ref="G25">IF(Func(E25)&gt;0,"+","-")</f>
        <v>+</v>
      </c>
      <c r="H25" s="3" t="str" cm="1">
        <f t="array" ref="H25">IF(Func(D25)&gt;0,"+","-")</f>
        <v>-</v>
      </c>
      <c r="I25" s="1">
        <f t="shared" si="2"/>
        <v>4.76837158203125E-7</v>
      </c>
    </row>
    <row r="26" spans="2:9" x14ac:dyDescent="0.25">
      <c r="B26" s="1"/>
      <c r="C26" s="1"/>
      <c r="D26" s="1"/>
      <c r="E26" s="1"/>
      <c r="F26" s="1"/>
      <c r="G26" s="1"/>
      <c r="H26" s="1"/>
      <c r="I26" s="1"/>
    </row>
    <row r="27" spans="2:9" x14ac:dyDescent="0.25">
      <c r="B27" s="1"/>
      <c r="C27" s="1"/>
      <c r="D27" s="1"/>
      <c r="E27" s="1"/>
      <c r="F27" s="1"/>
      <c r="G27" s="1"/>
      <c r="H27" s="1"/>
      <c r="I27" s="1"/>
    </row>
    <row r="28" spans="2:9" x14ac:dyDescent="0.25">
      <c r="B28" s="1"/>
      <c r="C28" s="1"/>
      <c r="D28" s="1"/>
      <c r="E28" s="1"/>
      <c r="F28" s="1"/>
      <c r="G28" s="1"/>
      <c r="H28" s="1"/>
      <c r="I28" s="1"/>
    </row>
    <row r="29" spans="2:9" x14ac:dyDescent="0.25">
      <c r="B29" s="1"/>
      <c r="C29" s="1"/>
      <c r="D29" s="1"/>
      <c r="E29" s="1"/>
      <c r="F29" s="1"/>
      <c r="G29" s="1"/>
      <c r="H29" s="1"/>
      <c r="I29" s="1"/>
    </row>
    <row r="30" spans="2:9" x14ac:dyDescent="0.25">
      <c r="B30" s="1"/>
      <c r="C30" s="1"/>
      <c r="D30" s="1"/>
      <c r="E30" s="1"/>
      <c r="F30" s="1"/>
      <c r="G30" s="1"/>
      <c r="H30" s="1"/>
      <c r="I30" s="1"/>
    </row>
    <row r="31" spans="2:9" x14ac:dyDescent="0.25">
      <c r="B31" s="1"/>
      <c r="C31" s="1"/>
      <c r="D31" s="1"/>
      <c r="E31" s="1"/>
      <c r="F31" s="1"/>
      <c r="G31" s="1"/>
      <c r="H31" s="1"/>
      <c r="I3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54C7-6DF9-41AF-9FAB-D9E579E2DCDD}">
  <sheetPr codeName="Hoja2"/>
  <dimension ref="B3:F46"/>
  <sheetViews>
    <sheetView tabSelected="1" topLeftCell="A5" zoomScale="154" workbookViewId="0">
      <selection activeCell="D24" sqref="D24"/>
    </sheetView>
  </sheetViews>
  <sheetFormatPr baseColWidth="10" defaultRowHeight="15" x14ac:dyDescent="0.25"/>
  <cols>
    <col min="3" max="4" width="17.7109375" customWidth="1"/>
    <col min="5" max="5" width="15.7109375" customWidth="1"/>
  </cols>
  <sheetData>
    <row r="3" spans="2:6" x14ac:dyDescent="0.25">
      <c r="B3" t="s">
        <v>7</v>
      </c>
      <c r="C3">
        <v>0</v>
      </c>
    </row>
    <row r="4" spans="2:6" x14ac:dyDescent="0.25">
      <c r="B4" t="s">
        <v>8</v>
      </c>
      <c r="C4">
        <v>1</v>
      </c>
    </row>
    <row r="7" spans="2:6" x14ac:dyDescent="0.25">
      <c r="B7" s="1" t="s">
        <v>9</v>
      </c>
      <c r="C7" s="1" t="s">
        <v>10</v>
      </c>
      <c r="D7" s="1" t="s">
        <v>11</v>
      </c>
      <c r="E7" s="1" t="s">
        <v>12</v>
      </c>
      <c r="F7" s="1" t="s">
        <v>13</v>
      </c>
    </row>
    <row r="8" spans="2:6" x14ac:dyDescent="0.25">
      <c r="B8" s="1">
        <v>1</v>
      </c>
      <c r="C8" s="1">
        <f>C3</f>
        <v>0</v>
      </c>
      <c r="D8" s="1">
        <f>C4</f>
        <v>1</v>
      </c>
      <c r="E8" s="1" cm="1">
        <f t="array" ref="E8">p2_Secante(C8,D8)</f>
        <v>0.54545454545454541</v>
      </c>
      <c r="F8" s="1">
        <f>ABS(E8-D8)</f>
        <v>0.45454545454545459</v>
      </c>
    </row>
    <row r="9" spans="2:6" x14ac:dyDescent="0.25">
      <c r="B9" s="1">
        <f>B8+1</f>
        <v>2</v>
      </c>
      <c r="C9" s="1">
        <f>D8</f>
        <v>1</v>
      </c>
      <c r="D9" s="1">
        <f>E8</f>
        <v>0.54545454545454541</v>
      </c>
      <c r="E9" s="1" cm="1">
        <f t="array" ref="E9">p2_Secante(C9,D9)</f>
        <v>0.72055427251732096</v>
      </c>
      <c r="F9" s="1">
        <f>ABS(E9-D9)</f>
        <v>0.17509972706277555</v>
      </c>
    </row>
    <row r="10" spans="2:6" x14ac:dyDescent="0.25">
      <c r="B10" s="1">
        <f t="shared" ref="B10:B33" si="0">B9+1</f>
        <v>3</v>
      </c>
      <c r="C10" s="1">
        <f t="shared" ref="C10:D24" si="1">D9</f>
        <v>0.54545454545454541</v>
      </c>
      <c r="D10" s="1">
        <f t="shared" si="1"/>
        <v>0.72055427251732096</v>
      </c>
      <c r="E10" s="1" cm="1">
        <f t="array" ref="E10">p2_Secante(C10,D10)</f>
        <v>0.77318665226670413</v>
      </c>
      <c r="F10" s="1">
        <f t="shared" ref="F10:F24" si="2">ABS(E10-D10)</f>
        <v>5.2632379749383174E-2</v>
      </c>
    </row>
    <row r="11" spans="2:6" x14ac:dyDescent="0.25">
      <c r="B11" s="1">
        <f t="shared" si="0"/>
        <v>4</v>
      </c>
      <c r="C11" s="1">
        <f t="shared" si="1"/>
        <v>0.72055427251732096</v>
      </c>
      <c r="D11" s="1">
        <f t="shared" si="1"/>
        <v>0.77318665226670413</v>
      </c>
      <c r="E11" s="1" cm="1">
        <f t="array" ref="E11">p2_Secante(C11,D11)</f>
        <v>0.76321663548450713</v>
      </c>
      <c r="F11" s="1">
        <f t="shared" si="2"/>
        <v>9.9700167821969998E-3</v>
      </c>
    </row>
    <row r="12" spans="2:6" x14ac:dyDescent="0.25">
      <c r="B12" s="1">
        <f t="shared" si="0"/>
        <v>5</v>
      </c>
      <c r="C12" s="1">
        <f t="shared" si="1"/>
        <v>0.77318665226670413</v>
      </c>
      <c r="D12" s="1">
        <f t="shared" si="1"/>
        <v>0.76321663548450713</v>
      </c>
      <c r="E12" s="1" cm="1">
        <f t="array" ref="E12">p2_Secante(C12,D12)</f>
        <v>0.7635735567961881</v>
      </c>
      <c r="F12" s="1">
        <f t="shared" si="2"/>
        <v>3.5692131168096886E-4</v>
      </c>
    </row>
    <row r="13" spans="2:6" x14ac:dyDescent="0.25">
      <c r="B13" s="1">
        <f t="shared" si="0"/>
        <v>6</v>
      </c>
      <c r="C13" s="1">
        <f t="shared" si="1"/>
        <v>0.76321663548450713</v>
      </c>
      <c r="D13" s="1">
        <f t="shared" si="1"/>
        <v>0.7635735567961881</v>
      </c>
      <c r="E13" s="1" cm="1">
        <f t="array" ref="E13">p2_Secante(C13,D13)</f>
        <v>0.76357648495003483</v>
      </c>
      <c r="F13" s="1">
        <f t="shared" si="2"/>
        <v>2.9281538467262891E-6</v>
      </c>
    </row>
    <row r="14" spans="2:6" x14ac:dyDescent="0.25">
      <c r="B14" s="1">
        <f t="shared" si="0"/>
        <v>7</v>
      </c>
      <c r="C14" s="1">
        <f t="shared" si="1"/>
        <v>0.7635735567961881</v>
      </c>
      <c r="D14" s="1">
        <f t="shared" si="1"/>
        <v>0.76357648495003483</v>
      </c>
      <c r="E14" s="1" cm="1">
        <f t="array" ref="E14">p2_Secante(C14,D14)</f>
        <v>0.76357648405281542</v>
      </c>
      <c r="F14" s="1">
        <f t="shared" si="2"/>
        <v>8.9721940987885773E-10</v>
      </c>
    </row>
    <row r="15" spans="2:6" x14ac:dyDescent="0.25">
      <c r="B15" s="1">
        <f t="shared" si="0"/>
        <v>8</v>
      </c>
      <c r="C15" s="1">
        <f t="shared" si="1"/>
        <v>0.76357648495003483</v>
      </c>
      <c r="D15" s="1">
        <f t="shared" si="1"/>
        <v>0.76357648405281542</v>
      </c>
      <c r="E15" s="1" cm="1">
        <f t="array" ref="E15">p2_Secante(C15,D15)</f>
        <v>0.76357648405281764</v>
      </c>
      <c r="F15" s="1">
        <f t="shared" si="2"/>
        <v>2.2204460492503131E-15</v>
      </c>
    </row>
    <row r="16" spans="2:6" x14ac:dyDescent="0.25">
      <c r="B16" s="1">
        <f t="shared" si="0"/>
        <v>9</v>
      </c>
      <c r="C16" s="1">
        <f t="shared" si="1"/>
        <v>0.76357648405281542</v>
      </c>
      <c r="D16" s="1">
        <f t="shared" si="1"/>
        <v>0.76357648405281764</v>
      </c>
      <c r="E16" s="1" cm="1">
        <f t="array" ref="E16">p2_Secante(C16,D16)</f>
        <v>0.76357648405281764</v>
      </c>
      <c r="F16" s="1">
        <f t="shared" si="2"/>
        <v>0</v>
      </c>
    </row>
    <row r="17" spans="2:6" x14ac:dyDescent="0.25">
      <c r="B17" s="1">
        <f t="shared" si="0"/>
        <v>10</v>
      </c>
      <c r="C17" s="1">
        <f t="shared" si="1"/>
        <v>0.76357648405281764</v>
      </c>
      <c r="D17" s="1">
        <f t="shared" si="1"/>
        <v>0.76357648405281764</v>
      </c>
      <c r="E17" s="1" t="e" cm="1">
        <f t="array" ref="E17">p2_Secante(C17,D17)</f>
        <v>#VALUE!</v>
      </c>
      <c r="F17" s="1" t="e">
        <f t="shared" si="2"/>
        <v>#VALUE!</v>
      </c>
    </row>
    <row r="18" spans="2:6" x14ac:dyDescent="0.25">
      <c r="B18" s="1">
        <f t="shared" si="0"/>
        <v>11</v>
      </c>
      <c r="C18" s="1">
        <f t="shared" si="1"/>
        <v>0.76357648405281764</v>
      </c>
      <c r="D18" s="1" t="e">
        <f t="shared" si="1"/>
        <v>#VALUE!</v>
      </c>
      <c r="E18" s="1" t="e" cm="1">
        <f t="array" ref="E18">p2_Secante(C18,D18)</f>
        <v>#VALUE!</v>
      </c>
      <c r="F18" s="1" t="e">
        <f t="shared" si="2"/>
        <v>#VALUE!</v>
      </c>
    </row>
    <row r="19" spans="2:6" x14ac:dyDescent="0.25">
      <c r="B19" s="1">
        <f t="shared" si="0"/>
        <v>12</v>
      </c>
      <c r="C19" s="1" t="e">
        <f t="shared" si="1"/>
        <v>#VALUE!</v>
      </c>
      <c r="D19" s="1" t="e">
        <f t="shared" si="1"/>
        <v>#VALUE!</v>
      </c>
      <c r="E19" s="1" t="e" cm="1">
        <f t="array" ref="E19">p2_Secante(C19,D19)</f>
        <v>#VALUE!</v>
      </c>
      <c r="F19" s="1" t="e">
        <f t="shared" si="2"/>
        <v>#VALUE!</v>
      </c>
    </row>
    <row r="20" spans="2:6" x14ac:dyDescent="0.25">
      <c r="B20" s="1">
        <f t="shared" si="0"/>
        <v>13</v>
      </c>
      <c r="C20" s="1" t="e">
        <f t="shared" si="1"/>
        <v>#VALUE!</v>
      </c>
      <c r="D20" s="1" t="e">
        <f t="shared" si="1"/>
        <v>#VALUE!</v>
      </c>
      <c r="E20" s="1" t="e" cm="1">
        <f t="array" ref="E20">p2_Secante(C20,D20)</f>
        <v>#VALUE!</v>
      </c>
      <c r="F20" s="1" t="e">
        <f t="shared" si="2"/>
        <v>#VALUE!</v>
      </c>
    </row>
    <row r="21" spans="2:6" x14ac:dyDescent="0.25">
      <c r="B21" s="1">
        <f t="shared" si="0"/>
        <v>14</v>
      </c>
      <c r="C21" s="1" t="e">
        <f t="shared" si="1"/>
        <v>#VALUE!</v>
      </c>
      <c r="D21" s="1" t="e">
        <f t="shared" si="1"/>
        <v>#VALUE!</v>
      </c>
      <c r="E21" s="1" t="e" cm="1">
        <f t="array" ref="E21">p2_Secante(C21,D21)</f>
        <v>#VALUE!</v>
      </c>
      <c r="F21" s="1" t="e">
        <f t="shared" si="2"/>
        <v>#VALUE!</v>
      </c>
    </row>
    <row r="22" spans="2:6" x14ac:dyDescent="0.25">
      <c r="B22" s="1">
        <f t="shared" si="0"/>
        <v>15</v>
      </c>
      <c r="C22" s="1" t="e">
        <f t="shared" si="1"/>
        <v>#VALUE!</v>
      </c>
      <c r="D22" s="1" t="e">
        <f t="shared" si="1"/>
        <v>#VALUE!</v>
      </c>
      <c r="E22" s="1" t="e" cm="1">
        <f t="array" ref="E22">p2_Secante(C22,D22)</f>
        <v>#VALUE!</v>
      </c>
      <c r="F22" s="1" t="e">
        <f t="shared" si="2"/>
        <v>#VALUE!</v>
      </c>
    </row>
    <row r="23" spans="2:6" x14ac:dyDescent="0.25">
      <c r="B23" s="1">
        <f t="shared" si="0"/>
        <v>16</v>
      </c>
      <c r="C23" s="1" t="e">
        <f t="shared" si="1"/>
        <v>#VALUE!</v>
      </c>
      <c r="D23" s="1" t="e">
        <f t="shared" si="1"/>
        <v>#VALUE!</v>
      </c>
      <c r="E23" s="1" t="e" cm="1">
        <f t="array" ref="E23">p2_Secante(C23,D23)</f>
        <v>#VALUE!</v>
      </c>
      <c r="F23" s="1" t="e">
        <f t="shared" si="2"/>
        <v>#VALUE!</v>
      </c>
    </row>
    <row r="24" spans="2:6" x14ac:dyDescent="0.25">
      <c r="B24" s="1">
        <f t="shared" si="0"/>
        <v>17</v>
      </c>
      <c r="C24" s="1" t="e">
        <f t="shared" si="1"/>
        <v>#VALUE!</v>
      </c>
      <c r="D24" s="1" t="e">
        <f t="shared" si="1"/>
        <v>#VALUE!</v>
      </c>
      <c r="E24" s="1" t="e" cm="1">
        <f t="array" ref="E24">p2_Secante(C24,D24)</f>
        <v>#VALUE!</v>
      </c>
      <c r="F24" s="1" t="e">
        <f t="shared" si="2"/>
        <v>#VALUE!</v>
      </c>
    </row>
    <row r="25" spans="2:6" x14ac:dyDescent="0.25">
      <c r="B25" s="1">
        <f t="shared" si="0"/>
        <v>18</v>
      </c>
      <c r="C25" s="1"/>
      <c r="D25" s="1"/>
      <c r="E25" s="1"/>
      <c r="F25" s="1"/>
    </row>
    <row r="26" spans="2:6" x14ac:dyDescent="0.25">
      <c r="B26" s="1">
        <f t="shared" si="0"/>
        <v>19</v>
      </c>
      <c r="C26" s="1"/>
      <c r="D26" s="1"/>
      <c r="E26" s="1"/>
      <c r="F26" s="1"/>
    </row>
    <row r="27" spans="2:6" x14ac:dyDescent="0.25">
      <c r="B27" s="1">
        <f t="shared" si="0"/>
        <v>20</v>
      </c>
      <c r="C27" s="1"/>
      <c r="D27" s="1"/>
      <c r="E27" s="1"/>
      <c r="F27" s="1"/>
    </row>
    <row r="28" spans="2:6" x14ac:dyDescent="0.25">
      <c r="B28" s="1">
        <f t="shared" si="0"/>
        <v>21</v>
      </c>
      <c r="C28" s="1"/>
      <c r="D28" s="1"/>
      <c r="E28" s="1"/>
      <c r="F28" s="1"/>
    </row>
    <row r="29" spans="2:6" x14ac:dyDescent="0.25">
      <c r="B29" s="1">
        <f t="shared" si="0"/>
        <v>22</v>
      </c>
      <c r="C29" s="1"/>
      <c r="D29" s="1"/>
      <c r="E29" s="1"/>
      <c r="F29" s="1"/>
    </row>
    <row r="30" spans="2:6" x14ac:dyDescent="0.25">
      <c r="B30" s="1">
        <f t="shared" si="0"/>
        <v>23</v>
      </c>
      <c r="C30" s="1"/>
      <c r="D30" s="1"/>
      <c r="E30" s="1"/>
      <c r="F30" s="1"/>
    </row>
    <row r="31" spans="2:6" x14ac:dyDescent="0.25">
      <c r="B31" s="1">
        <f t="shared" si="0"/>
        <v>24</v>
      </c>
      <c r="C31" s="1"/>
      <c r="D31" s="1"/>
      <c r="E31" s="1"/>
      <c r="F31" s="1"/>
    </row>
    <row r="32" spans="2:6" x14ac:dyDescent="0.25">
      <c r="B32" s="1">
        <f t="shared" si="0"/>
        <v>25</v>
      </c>
      <c r="C32" s="1"/>
      <c r="D32" s="1"/>
      <c r="E32" s="1"/>
      <c r="F32" s="1"/>
    </row>
    <row r="33" spans="2:6" x14ac:dyDescent="0.25">
      <c r="B33" s="1">
        <f t="shared" si="0"/>
        <v>26</v>
      </c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  <row r="36" spans="2:6" x14ac:dyDescent="0.25">
      <c r="B36" s="1"/>
      <c r="C36" s="1"/>
      <c r="D36" s="1"/>
      <c r="E36" s="1"/>
      <c r="F36" s="1"/>
    </row>
    <row r="37" spans="2:6" x14ac:dyDescent="0.25">
      <c r="B37" s="1"/>
      <c r="C37" s="1"/>
      <c r="D37" s="1"/>
      <c r="E37" s="1"/>
      <c r="F37" s="1"/>
    </row>
    <row r="38" spans="2:6" x14ac:dyDescent="0.25">
      <c r="B38" s="1"/>
      <c r="C38" s="1"/>
      <c r="D38" s="1"/>
      <c r="E38" s="1"/>
      <c r="F38" s="1"/>
    </row>
    <row r="39" spans="2:6" x14ac:dyDescent="0.25">
      <c r="B39" s="1"/>
      <c r="C39" s="1"/>
      <c r="D39" s="1"/>
      <c r="E39" s="1"/>
      <c r="F39" s="1"/>
    </row>
    <row r="40" spans="2:6" x14ac:dyDescent="0.25">
      <c r="B40" s="1"/>
      <c r="C40" s="1"/>
      <c r="D40" s="1"/>
      <c r="E40" s="1"/>
      <c r="F40" s="1"/>
    </row>
    <row r="41" spans="2:6" x14ac:dyDescent="0.25">
      <c r="B41" s="1"/>
      <c r="C41" s="1"/>
      <c r="D41" s="1"/>
      <c r="E41" s="1"/>
      <c r="F41" s="1"/>
    </row>
    <row r="42" spans="2:6" x14ac:dyDescent="0.25">
      <c r="B42" s="1"/>
      <c r="C42" s="1"/>
      <c r="D42" s="1"/>
      <c r="E42" s="1"/>
      <c r="F42" s="1"/>
    </row>
    <row r="43" spans="2:6" x14ac:dyDescent="0.25">
      <c r="B43" s="1"/>
      <c r="C43" s="1"/>
      <c r="D43" s="1"/>
      <c r="E43" s="1"/>
      <c r="F43" s="1"/>
    </row>
    <row r="44" spans="2:6" x14ac:dyDescent="0.25">
      <c r="B44" s="1"/>
      <c r="C44" s="1"/>
      <c r="D44" s="1"/>
      <c r="E44" s="1"/>
      <c r="F44" s="1"/>
    </row>
    <row r="45" spans="2:6" x14ac:dyDescent="0.25">
      <c r="B45" s="1"/>
      <c r="C45" s="1"/>
      <c r="D45" s="1"/>
      <c r="E45" s="1"/>
      <c r="F45" s="1"/>
    </row>
    <row r="46" spans="2:6" x14ac:dyDescent="0.25">
      <c r="B46" s="1"/>
      <c r="C46" s="1"/>
      <c r="D46" s="1"/>
      <c r="E46" s="1"/>
      <c r="F4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TablaBisec</vt:lpstr>
      <vt:lpstr>Secante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ortigoza</dc:creator>
  <cp:lastModifiedBy>andres ortigoza</cp:lastModifiedBy>
  <dcterms:created xsi:type="dcterms:W3CDTF">2026-08-26T20:38:45Z</dcterms:created>
  <dcterms:modified xsi:type="dcterms:W3CDTF">2026-08-31T18:34:25Z</dcterms:modified>
</cp:coreProperties>
</file>